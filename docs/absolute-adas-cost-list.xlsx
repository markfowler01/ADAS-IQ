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st List" sheetId="1" state="visible" r:id="rId3"/>
    <sheet name="Partnership Calculator" sheetId="2" state="visible" r:id="rId4"/>
    <sheet name="Volume Tiers" sheetId="3" state="visible" r:id="rId5"/>
    <sheet name="Carrier Reference (Internal)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<sst xmlns="http://schemas.openxmlformats.org/spreadsheetml/2006/main" count="148" uniqueCount="144">
  <si>
    <t xml:space="preserve">Absolute ADAS — Mobile Calibration Cost List</t>
  </si>
  <si>
    <t xml:space="preserve">Same price your shop bills insurance. We discount because you share your space.</t>
  </si>
  <si>
    <t xml:space="preserve">Preferred vendor with State Farm and other major carriers. Updated May 2026.</t>
  </si>
  <si>
    <t xml:space="preserve">Service</t>
  </si>
  <si>
    <t xml:space="preserve">Description</t>
  </si>
  <si>
    <t xml:space="preserve">OEM Examples</t>
  </si>
  <si>
    <t xml:space="preserve">List Price</t>
  </si>
  <si>
    <t xml:space="preserve">Partner Price (15% off)</t>
  </si>
  <si>
    <t xml:space="preserve">Shop Margin</t>
  </si>
  <si>
    <t xml:space="preserve">STATIC CALIBRATIONS</t>
  </si>
  <si>
    <t xml:space="preserve">Front Camera (Static)</t>
  </si>
  <si>
    <t xml:space="preserve">Forward-facing camera calibration with target setup</t>
  </si>
  <si>
    <t xml:space="preserve">Toyota, Honda, Subaru, Nissan</t>
  </si>
  <si>
    <t xml:space="preserve">Radar (Static)</t>
  </si>
  <si>
    <t xml:space="preserve">Front radar alignment for ACC and AEB</t>
  </si>
  <si>
    <t xml:space="preserve">Most OEMs after bumper R&amp;R</t>
  </si>
  <si>
    <t xml:space="preserve">Blind Spot Monitor (BSM)</t>
  </si>
  <si>
    <t xml:space="preserve">Rear/side radar calibration</t>
  </si>
  <si>
    <t xml:space="preserve">All major OEMs</t>
  </si>
  <si>
    <t xml:space="preserve">360 Surround View</t>
  </si>
  <si>
    <t xml:space="preserve">Multi-camera calibration with target mat setup</t>
  </si>
  <si>
    <t xml:space="preserve">Hyundai, Kia, Toyota, BMW</t>
  </si>
  <si>
    <t xml:space="preserve">Steering Angle Sensor</t>
  </si>
  <si>
    <t xml:space="preserve">SAS reset and alignment verification</t>
  </si>
  <si>
    <t xml:space="preserve">All OEMs after alignment</t>
  </si>
  <si>
    <t xml:space="preserve">Lane Departure / LKA</t>
  </si>
  <si>
    <t xml:space="preserve">Lane keep assist camera calibration</t>
  </si>
  <si>
    <t xml:space="preserve">Most late-model vehicles</t>
  </si>
  <si>
    <t xml:space="preserve">DYNAMIC CALIBRATIONS (ROAD DRIVE)</t>
  </si>
  <si>
    <t xml:space="preserve">Front Camera (Dynamic)</t>
  </si>
  <si>
    <t xml:space="preserve">Road-drive calibration at specified speeds</t>
  </si>
  <si>
    <t xml:space="preserve">Honda, Mazda, some Toyota</t>
  </si>
  <si>
    <t xml:space="preserve">Radar (Dynamic)</t>
  </si>
  <si>
    <t xml:space="preserve">Drive-cycle radar verification</t>
  </si>
  <si>
    <t xml:space="preserve">Various OEMs</t>
  </si>
  <si>
    <t xml:space="preserve">Static + Dynamic Combo</t>
  </si>
  <si>
    <t xml:space="preserve">Both procedures required by OEM</t>
  </si>
  <si>
    <t xml:space="preserve">Common on European makes</t>
  </si>
  <si>
    <t xml:space="preserve">DIAGNOSTICS + PROGRAMMING</t>
  </si>
  <si>
    <t xml:space="preserve">Pre-Scan</t>
  </si>
  <si>
    <t xml:space="preserve">Full vehicle scan with DTC report before repair</t>
  </si>
  <si>
    <t xml:space="preserve">All vehicles</t>
  </si>
  <si>
    <t xml:space="preserve">Post-Scan</t>
  </si>
  <si>
    <t xml:space="preserve">Full vehicle scan after repair completion</t>
  </si>
  <si>
    <t xml:space="preserve">Pre + Post Bundle</t>
  </si>
  <si>
    <t xml:space="preserve">Both scans, documented for insurance</t>
  </si>
  <si>
    <t xml:space="preserve">Recommended every repair</t>
  </si>
  <si>
    <t xml:space="preserve">Module Programming</t>
  </si>
  <si>
    <t xml:space="preserve">OEM software flash for replaced modules</t>
  </si>
  <si>
    <t xml:space="preserve">Per OEM rates</t>
  </si>
  <si>
    <t xml:space="preserve">Diagnostic Time (per hour)</t>
  </si>
  <si>
    <t xml:space="preserve">Advanced electronics troubleshooting</t>
  </si>
  <si>
    <t xml:space="preserve">Hourly billing</t>
  </si>
  <si>
    <t xml:space="preserve">ADD-ONS</t>
  </si>
  <si>
    <t xml:space="preserve">Mobile Trip Fee (10-25 mi)</t>
  </si>
  <si>
    <t xml:space="preserve">Travel within Puget Sound metro</t>
  </si>
  <si>
    <t xml:space="preserve">Lake Stevens, Everett, Seattle</t>
  </si>
  <si>
    <t xml:space="preserve">Included</t>
  </si>
  <si>
    <t xml:space="preserve">-</t>
  </si>
  <si>
    <t xml:space="preserve">Mobile Trip Fee (25-50 mi)</t>
  </si>
  <si>
    <t xml:space="preserve">Extended service area</t>
  </si>
  <si>
    <t xml:space="preserve">Tacoma, Bellevue, Lynnwood</t>
  </si>
  <si>
    <t xml:space="preserve">Mobile Trip Fee (50+ mi)</t>
  </si>
  <si>
    <t xml:space="preserve">Outside primary service zone</t>
  </si>
  <si>
    <t xml:space="preserve">Custom quote</t>
  </si>
  <si>
    <t xml:space="preserve">After-hours / Weekend</t>
  </si>
  <si>
    <t xml:space="preserve">Same-day urgency or weekend job</t>
  </si>
  <si>
    <t xml:space="preserve">By request</t>
  </si>
  <si>
    <t xml:space="preserve">Documentation Package</t>
  </si>
  <si>
    <t xml:space="preserve">OEM position statement + pre/post scan + cal cert</t>
  </si>
  <si>
    <t xml:space="preserve">Insurance-grade docs</t>
  </si>
  <si>
    <t xml:space="preserve">HOW THE PARTNERSHIP DISCOUNT WORKS</t>
  </si>
  <si>
    <t xml:space="preserve">1. List Price is what your shop bills the customer or insurance (insurance-approved rate).</t>
  </si>
  <si>
    <t xml:space="preserve">2. Partner Price is what your shop pays Absolute ADAS (15% off list as standard partner).</t>
  </si>
  <si>
    <t xml:space="preserve">3. Shop Margin is the difference. It shows up automatically on every invoice. No paperwork.</t>
  </si>
  <si>
    <t xml:space="preserve">4. Why: we calibrate at your facility, using your bay and your power. You earned the discount.</t>
  </si>
  <si>
    <t xml:space="preserve">5. Volume tier: 15+ calibrations/month unlocks 20% off list.</t>
  </si>
  <si>
    <t xml:space="preserve">6. Preferred Partner tier: 30+ calibrations/month unlocks 25% off list + same-day dispatch priority.</t>
  </si>
  <si>
    <t xml:space="preserve">7. We are a preferred vendor with State Farm and other major carriers. List pricing is approved.</t>
  </si>
  <si>
    <t xml:space="preserve">8. All calibrations include OEM documentation, pre/post scans, $1M liability insurance.</t>
  </si>
  <si>
    <t xml:space="preserve">Partnership Calculator</t>
  </si>
  <si>
    <t xml:space="preserve">Your shop's annual margin from the partnership discount</t>
  </si>
  <si>
    <t xml:space="preserve">YOUR INPUTS (yellow cells, change anytime)</t>
  </si>
  <si>
    <t xml:space="preserve">Calibrations per month</t>
  </si>
  <si>
    <t xml:space="preserve">Average list price per calibration</t>
  </si>
  <si>
    <t xml:space="preserve">Your discount tier (15% / 20% / 25%)</t>
  </si>
  <si>
    <t xml:space="preserve">PER-CALIBRATION MATH</t>
  </si>
  <si>
    <t xml:space="preserve">You bill customer/insurance at list</t>
  </si>
  <si>
    <t xml:space="preserve">You pay Absolute ADAS (list minus discount)</t>
  </si>
  <si>
    <t xml:space="preserve">Your margin per calibration</t>
  </si>
  <si>
    <t xml:space="preserve">MONTHLY AND ANNUAL TOTALS</t>
  </si>
  <si>
    <t xml:space="preserve">Monthly margin to your shop</t>
  </si>
  <si>
    <t xml:space="preserve">Annual margin to your shop</t>
  </si>
  <si>
    <t xml:space="preserve">VS. A VENDOR THAT DOESN'T DISCOUNT</t>
  </si>
  <si>
    <t xml:space="preserve">Annual margin from vendor charging full list</t>
  </si>
  <si>
    <t xml:space="preserve">Annual margin from Absolute ADAS</t>
  </si>
  <si>
    <t xml:space="preserve">Annual difference (what you'd otherwise leave on the table)</t>
  </si>
  <si>
    <t xml:space="preserve">NOTES</t>
  </si>
  <si>
    <t xml:space="preserve">All calculations are dynamic. Change yellow cells to model your shop's numbers.</t>
  </si>
  <si>
    <t xml:space="preserve">List price is what your shop bills the customer or insurance.</t>
  </si>
  <si>
    <t xml:space="preserve">Your discount applies to every invoice automatically. No paperwork, no quarterly waiting.</t>
  </si>
  <si>
    <t xml:space="preserve">Volume tier (20% off list) unlocks at 15+ calibrations/month.</t>
  </si>
  <si>
    <t xml:space="preserve">Preferred Partner tier (25% off list) unlocks at 30+ calibrations/month.</t>
  </si>
  <si>
    <t xml:space="preserve">List pricing is insurance-approved with State Farm and other major carriers.</t>
  </si>
  <si>
    <t xml:space="preserve">Volume Tier Structure</t>
  </si>
  <si>
    <t xml:space="preserve">More calibrations = bigger discount = bigger margin per job</t>
  </si>
  <si>
    <t xml:space="preserve">Tier</t>
  </si>
  <si>
    <t xml:space="preserve">Monthly Calibrations</t>
  </si>
  <si>
    <t xml:space="preserve">Discount Off List</t>
  </si>
  <si>
    <t xml:space="preserve">Shop Margin per $450 Job</t>
  </si>
  <si>
    <t xml:space="preserve">Sample Annual Margin</t>
  </si>
  <si>
    <t xml:space="preserve">Standard</t>
  </si>
  <si>
    <t xml:space="preserve">1-14 per month</t>
  </si>
  <si>
    <t xml:space="preserve">Volume</t>
  </si>
  <si>
    <t xml:space="preserve">15-29 per month</t>
  </si>
  <si>
    <t xml:space="preserve">Preferred Partner</t>
  </si>
  <si>
    <t xml:space="preserve">30+ per month</t>
  </si>
  <si>
    <t xml:space="preserve">TIER MECHANICS</t>
  </si>
  <si>
    <t xml:space="preserve">Volume is calculated on rolling 90-day average.</t>
  </si>
  <si>
    <t xml:space="preserve">Tier upgrades apply automatically in the quarter after the threshold is hit.</t>
  </si>
  <si>
    <t xml:space="preserve">Preferred Partner shops get same-day dispatch priority and free Documentation Package every job.</t>
  </si>
  <si>
    <t xml:space="preserve">Volume includes all calibration types (static + dynamic + 360 + radar + BSM).</t>
  </si>
  <si>
    <t xml:space="preserve">Pre-scan and post-scan-only jobs do not count toward calibration volume.</t>
  </si>
  <si>
    <t xml:space="preserve">Sample annual margin uses $450 list for static. Mix of services adjusts totals.</t>
  </si>
  <si>
    <t xml:space="preserve">INTERNAL ONLY — Carrier Rate Reference</t>
  </si>
  <si>
    <t xml:space="preserve">Do NOT share with body shops. This is for Mark/Kat invoicing decisions only.</t>
  </si>
  <si>
    <t xml:space="preserve">When carriers pay direct or set rates, use these. When body shops bill, they bill list ($450) and we discount.</t>
  </si>
  <si>
    <t xml:space="preserve">Carrier / Scenario</t>
  </si>
  <si>
    <t xml:space="preserve">Static Calibration Rate</t>
  </si>
  <si>
    <t xml:space="preserve">Notes</t>
  </si>
  <si>
    <t xml:space="preserve">Last Updated</t>
  </si>
  <si>
    <t xml:space="preserve">List Price (default)</t>
  </si>
  <si>
    <t xml:space="preserve">Body shop partners get 15-25% off this</t>
  </si>
  <si>
    <t xml:space="preserve">May 2026</t>
  </si>
  <si>
    <t xml:space="preserve">State Farm DRP direct</t>
  </si>
  <si>
    <t xml:space="preserve">When State Farm pays direct, not through shop</t>
  </si>
  <si>
    <t xml:space="preserve">TBD - Mark to confirm</t>
  </si>
  <si>
    <t xml:space="preserve">Carrier Match Tier 1</t>
  </si>
  <si>
    <t xml:space="preserve">Most major carriers match list</t>
  </si>
  <si>
    <t xml:space="preserve">Carrier Match Tier 2</t>
  </si>
  <si>
    <t xml:space="preserve">Some carrier rate schedules</t>
  </si>
  <si>
    <t xml:space="preserve">Carrier Match Tier 3</t>
  </si>
  <si>
    <t xml:space="preserve">Lower carrier rates for higher volume work</t>
  </si>
  <si>
    <t xml:space="preserve">MARK: Update carrier rates below as you learn them. Kat references this for invoicing.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</si>
</sst>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"/>
    <numFmt numFmtId="166" formatCode="#,##0"/>
    <numFmt numFmtId="167" formatCode="0.0%"/>
    <numFmt numFmtId="168" formatCode="\$#,##0;&quot;($&quot;#,##0\)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937"/>
      <name val="Arial"/>
      <family val="0"/>
      <charset val="1"/>
    </font>
    <font>
      <i val="true"/>
      <sz val="11"/>
      <color rgb="FF6B7280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2"/>
      <color rgb="FF065F46"/>
      <name val="Arial"/>
      <family val="0"/>
      <charset val="1"/>
    </font>
    <font>
      <b val="true"/>
      <sz val="14"/>
      <color rgb="FF065F46"/>
      <name val="Arial"/>
      <family val="0"/>
      <charset val="1"/>
    </font>
    <font>
      <b val="true"/>
      <sz val="12"/>
      <color rgb="FF991B1B"/>
      <name val="Arial"/>
      <family val="0"/>
      <charset val="1"/>
    </font>
    <font>
      <b val="true"/>
      <sz val="16"/>
      <color rgb="FF991B1B"/>
      <name val="Arial"/>
      <family val="0"/>
      <charset val="1"/>
    </font>
    <font>
      <b val="true"/>
      <i val="true"/>
      <sz val="11"/>
      <color rgb="FF991B1B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374151"/>
        <bgColor rgb="FF1F2937"/>
      </patternFill>
    </fill>
    <fill>
      <patternFill patternType="solid">
        <fgColor rgb="FFD1FAE5"/>
        <bgColor rgb="FFCCFFFF"/>
      </patternFill>
    </fill>
    <fill>
      <patternFill patternType="solid">
        <fgColor rgb="FFF3F4F6"/>
        <bgColor rgb="FFFFFFFF"/>
      </patternFill>
    </fill>
    <fill>
      <patternFill patternType="solid">
        <fgColor rgb="FFFFFFCC"/>
        <bgColor rgb="FFFFFFFF"/>
      </patternFill>
    </fill>
    <fill>
      <patternFill patternType="solid">
        <fgColor rgb="FFFEE2E2"/>
        <bgColor rgb="FFF3F4F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11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2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4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5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65F46"/>
      <rgbColor rgb="FFC0C0C0"/>
      <rgbColor rgb="FF808080"/>
      <rgbColor rgb="FF9999FF"/>
      <rgbColor rgb="FF993366"/>
      <rgbColor rgb="FFFFFFCC"/>
      <rgbColor rgb="FFF3F4F6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FAE5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1B1B"/>
      <rgbColor rgb="FF993366"/>
      <rgbColor rgb="FF374151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8"/>
    <col collapsed="false" customWidth="true" hidden="false" outlineLevel="0" max="3" min="3" style="0" width="28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14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</row>
    <row r="5" customFormat="false" ht="36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customFormat="false" ht="15" hidden="false" customHeight="false" outlineLevel="0" collapsed="false">
      <c r="A6" s="5" t="s">
        <v>9</v>
      </c>
      <c r="B6" s="5"/>
      <c r="C6" s="5"/>
      <c r="D6" s="5"/>
      <c r="E6" s="5"/>
      <c r="F6" s="5"/>
    </row>
    <row r="7" customFormat="false" ht="26.85" hidden="false" customHeight="false" outlineLevel="0" collapsed="false">
      <c r="A7" s="6" t="s">
        <v>10</v>
      </c>
      <c r="B7" s="6" t="s">
        <v>11</v>
      </c>
      <c r="C7" s="6" t="s">
        <v>12</v>
      </c>
      <c r="D7" s="7" t="n">
        <v>450</v>
      </c>
      <c r="E7" s="8" t="n">
        <f aca="false">D7*0.85</f>
        <v>382.5</v>
      </c>
      <c r="F7" s="9" t="n">
        <f aca="false">D7-E7</f>
        <v>67.5</v>
      </c>
    </row>
    <row r="8" customFormat="false" ht="26.85" hidden="false" customHeight="false" outlineLevel="0" collapsed="false">
      <c r="A8" s="6" t="s">
        <v>13</v>
      </c>
      <c r="B8" s="6" t="s">
        <v>14</v>
      </c>
      <c r="C8" s="6" t="s">
        <v>15</v>
      </c>
      <c r="D8" s="7" t="n">
        <v>450</v>
      </c>
      <c r="E8" s="8" t="n">
        <f aca="false">D8*0.85</f>
        <v>382.5</v>
      </c>
      <c r="F8" s="9" t="n">
        <f aca="false">D8-E8</f>
        <v>67.5</v>
      </c>
    </row>
    <row r="9" customFormat="false" ht="15" hidden="false" customHeight="false" outlineLevel="0" collapsed="false">
      <c r="A9" s="6" t="s">
        <v>16</v>
      </c>
      <c r="B9" s="6" t="s">
        <v>17</v>
      </c>
      <c r="C9" s="6" t="s">
        <v>18</v>
      </c>
      <c r="D9" s="7" t="n">
        <v>375</v>
      </c>
      <c r="E9" s="8" t="n">
        <f aca="false">D9*0.85</f>
        <v>318.75</v>
      </c>
      <c r="F9" s="9" t="n">
        <f aca="false">D9-E9</f>
        <v>56.25</v>
      </c>
    </row>
    <row r="10" customFormat="false" ht="26.85" hidden="false" customHeight="false" outlineLevel="0" collapsed="false">
      <c r="A10" s="6" t="s">
        <v>19</v>
      </c>
      <c r="B10" s="6" t="s">
        <v>20</v>
      </c>
      <c r="C10" s="6" t="s">
        <v>21</v>
      </c>
      <c r="D10" s="7" t="n">
        <v>650</v>
      </c>
      <c r="E10" s="8" t="n">
        <f aca="false">D10*0.85</f>
        <v>552.5</v>
      </c>
      <c r="F10" s="9" t="n">
        <f aca="false">D10-E10</f>
        <v>97.5</v>
      </c>
    </row>
    <row r="11" customFormat="false" ht="15" hidden="false" customHeight="false" outlineLevel="0" collapsed="false">
      <c r="A11" s="6" t="s">
        <v>22</v>
      </c>
      <c r="B11" s="6" t="s">
        <v>23</v>
      </c>
      <c r="C11" s="6" t="s">
        <v>24</v>
      </c>
      <c r="D11" s="7" t="n">
        <v>175</v>
      </c>
      <c r="E11" s="8" t="n">
        <f aca="false">D11*0.85</f>
        <v>148.75</v>
      </c>
      <c r="F11" s="9" t="n">
        <f aca="false">D11-E11</f>
        <v>26.25</v>
      </c>
    </row>
    <row r="12" customFormat="false" ht="15" hidden="false" customHeight="false" outlineLevel="0" collapsed="false">
      <c r="A12" s="6" t="s">
        <v>25</v>
      </c>
      <c r="B12" s="6" t="s">
        <v>26</v>
      </c>
      <c r="C12" s="6" t="s">
        <v>27</v>
      </c>
      <c r="D12" s="7" t="n">
        <v>375</v>
      </c>
      <c r="E12" s="8" t="n">
        <f aca="false">D12*0.85</f>
        <v>318.75</v>
      </c>
      <c r="F12" s="9" t="n">
        <f aca="false">D12-E12</f>
        <v>56.25</v>
      </c>
    </row>
    <row r="13" customFormat="false" ht="15" hidden="false" customHeight="false" outlineLevel="0" collapsed="false">
      <c r="A13" s="5" t="s">
        <v>28</v>
      </c>
      <c r="B13" s="5"/>
      <c r="C13" s="5"/>
      <c r="D13" s="5"/>
      <c r="E13" s="5"/>
      <c r="F13" s="5"/>
    </row>
    <row r="14" customFormat="false" ht="26.85" hidden="false" customHeight="false" outlineLevel="0" collapsed="false">
      <c r="A14" s="6" t="s">
        <v>29</v>
      </c>
      <c r="B14" s="6" t="s">
        <v>30</v>
      </c>
      <c r="C14" s="6" t="s">
        <v>31</v>
      </c>
      <c r="D14" s="7" t="n">
        <v>375</v>
      </c>
      <c r="E14" s="8" t="n">
        <f aca="false">D14*0.85</f>
        <v>318.75</v>
      </c>
      <c r="F14" s="9" t="n">
        <f aca="false">D14-E14</f>
        <v>56.25</v>
      </c>
    </row>
    <row r="15" customFormat="false" ht="15" hidden="false" customHeight="false" outlineLevel="0" collapsed="false">
      <c r="A15" s="6" t="s">
        <v>32</v>
      </c>
      <c r="B15" s="6" t="s">
        <v>33</v>
      </c>
      <c r="C15" s="6" t="s">
        <v>34</v>
      </c>
      <c r="D15" s="7" t="n">
        <v>375</v>
      </c>
      <c r="E15" s="8" t="n">
        <f aca="false">D15*0.85</f>
        <v>318.75</v>
      </c>
      <c r="F15" s="9" t="n">
        <f aca="false">D15-E15</f>
        <v>56.25</v>
      </c>
    </row>
    <row r="16" customFormat="false" ht="26.85" hidden="false" customHeight="false" outlineLevel="0" collapsed="false">
      <c r="A16" s="6" t="s">
        <v>35</v>
      </c>
      <c r="B16" s="6" t="s">
        <v>36</v>
      </c>
      <c r="C16" s="6" t="s">
        <v>37</v>
      </c>
      <c r="D16" s="7" t="n">
        <v>650</v>
      </c>
      <c r="E16" s="8" t="n">
        <f aca="false">D16*0.85</f>
        <v>552.5</v>
      </c>
      <c r="F16" s="9" t="n">
        <f aca="false">D16-E16</f>
        <v>97.5</v>
      </c>
    </row>
    <row r="17" customFormat="false" ht="15" hidden="false" customHeight="false" outlineLevel="0" collapsed="false">
      <c r="A17" s="5" t="s">
        <v>38</v>
      </c>
      <c r="B17" s="5"/>
      <c r="C17" s="5"/>
      <c r="D17" s="5"/>
      <c r="E17" s="5"/>
      <c r="F17" s="5"/>
    </row>
    <row r="18" customFormat="false" ht="26.85" hidden="false" customHeight="false" outlineLevel="0" collapsed="false">
      <c r="A18" s="6" t="s">
        <v>39</v>
      </c>
      <c r="B18" s="6" t="s">
        <v>40</v>
      </c>
      <c r="C18" s="6" t="s">
        <v>41</v>
      </c>
      <c r="D18" s="7" t="n">
        <v>95</v>
      </c>
      <c r="E18" s="8" t="n">
        <f aca="false">D18*0.85</f>
        <v>80.75</v>
      </c>
      <c r="F18" s="9" t="n">
        <f aca="false">D18-E18</f>
        <v>14.25</v>
      </c>
    </row>
    <row r="19" customFormat="false" ht="15" hidden="false" customHeight="false" outlineLevel="0" collapsed="false">
      <c r="A19" s="6" t="s">
        <v>42</v>
      </c>
      <c r="B19" s="6" t="s">
        <v>43</v>
      </c>
      <c r="C19" s="6" t="s">
        <v>41</v>
      </c>
      <c r="D19" s="7" t="n">
        <v>95</v>
      </c>
      <c r="E19" s="8" t="n">
        <f aca="false">D19*0.85</f>
        <v>80.75</v>
      </c>
      <c r="F19" s="9" t="n">
        <f aca="false">D19-E19</f>
        <v>14.25</v>
      </c>
    </row>
    <row r="20" customFormat="false" ht="15" hidden="false" customHeight="false" outlineLevel="0" collapsed="false">
      <c r="A20" s="6" t="s">
        <v>44</v>
      </c>
      <c r="B20" s="6" t="s">
        <v>45</v>
      </c>
      <c r="C20" s="6" t="s">
        <v>46</v>
      </c>
      <c r="D20" s="7" t="n">
        <v>175</v>
      </c>
      <c r="E20" s="8" t="n">
        <f aca="false">D20*0.85</f>
        <v>148.75</v>
      </c>
      <c r="F20" s="9" t="n">
        <f aca="false">D20-E20</f>
        <v>26.25</v>
      </c>
    </row>
    <row r="21" customFormat="false" ht="26.85" hidden="false" customHeight="false" outlineLevel="0" collapsed="false">
      <c r="A21" s="6" t="s">
        <v>47</v>
      </c>
      <c r="B21" s="6" t="s">
        <v>48</v>
      </c>
      <c r="C21" s="6" t="s">
        <v>49</v>
      </c>
      <c r="D21" s="7" t="n">
        <v>225</v>
      </c>
      <c r="E21" s="8" t="n">
        <f aca="false">D21*0.85</f>
        <v>191.25</v>
      </c>
      <c r="F21" s="9" t="n">
        <f aca="false">D21-E21</f>
        <v>33.75</v>
      </c>
    </row>
    <row r="22" customFormat="false" ht="15" hidden="false" customHeight="false" outlineLevel="0" collapsed="false">
      <c r="A22" s="6" t="s">
        <v>50</v>
      </c>
      <c r="B22" s="6" t="s">
        <v>51</v>
      </c>
      <c r="C22" s="6" t="s">
        <v>52</v>
      </c>
      <c r="D22" s="7" t="n">
        <v>150</v>
      </c>
      <c r="E22" s="8" t="n">
        <f aca="false">D22*0.85</f>
        <v>127.5</v>
      </c>
      <c r="F22" s="9" t="n">
        <f aca="false">D22-E22</f>
        <v>22.5</v>
      </c>
    </row>
    <row r="23" customFormat="false" ht="15" hidden="false" customHeight="false" outlineLevel="0" collapsed="false">
      <c r="A23" s="5" t="s">
        <v>53</v>
      </c>
      <c r="B23" s="5"/>
      <c r="C23" s="5"/>
      <c r="D23" s="5"/>
      <c r="E23" s="5"/>
      <c r="F23" s="5"/>
    </row>
    <row r="24" customFormat="false" ht="26.85" hidden="false" customHeight="false" outlineLevel="0" collapsed="false">
      <c r="A24" s="6" t="s">
        <v>54</v>
      </c>
      <c r="B24" s="6" t="s">
        <v>55</v>
      </c>
      <c r="C24" s="6" t="s">
        <v>56</v>
      </c>
      <c r="D24" s="7" t="n">
        <v>0</v>
      </c>
      <c r="E24" s="10" t="s">
        <v>57</v>
      </c>
      <c r="F24" s="10" t="s">
        <v>58</v>
      </c>
    </row>
    <row r="25" customFormat="false" ht="15" hidden="false" customHeight="false" outlineLevel="0" collapsed="false">
      <c r="A25" s="6" t="s">
        <v>59</v>
      </c>
      <c r="B25" s="6" t="s">
        <v>60</v>
      </c>
      <c r="C25" s="6" t="s">
        <v>61</v>
      </c>
      <c r="D25" s="7" t="n">
        <v>50</v>
      </c>
      <c r="E25" s="8" t="n">
        <f aca="false">D25*0.85</f>
        <v>42.5</v>
      </c>
      <c r="F25" s="9" t="n">
        <f aca="false">D25-E25</f>
        <v>7.5</v>
      </c>
    </row>
    <row r="26" customFormat="false" ht="15" hidden="false" customHeight="false" outlineLevel="0" collapsed="false">
      <c r="A26" s="6" t="s">
        <v>62</v>
      </c>
      <c r="B26" s="6" t="s">
        <v>63</v>
      </c>
      <c r="C26" s="6" t="s">
        <v>64</v>
      </c>
      <c r="D26" s="7" t="n">
        <v>100</v>
      </c>
      <c r="E26" s="8" t="n">
        <f aca="false">D26*0.85</f>
        <v>85</v>
      </c>
      <c r="F26" s="9" t="n">
        <f aca="false">D26-E26</f>
        <v>15</v>
      </c>
    </row>
    <row r="27" customFormat="false" ht="15" hidden="false" customHeight="false" outlineLevel="0" collapsed="false">
      <c r="A27" s="6" t="s">
        <v>65</v>
      </c>
      <c r="B27" s="6" t="s">
        <v>66</v>
      </c>
      <c r="C27" s="6" t="s">
        <v>67</v>
      </c>
      <c r="D27" s="7" t="n">
        <v>100</v>
      </c>
      <c r="E27" s="8" t="n">
        <f aca="false">D27*0.85</f>
        <v>85</v>
      </c>
      <c r="F27" s="9" t="n">
        <f aca="false">D27-E27</f>
        <v>15</v>
      </c>
    </row>
    <row r="28" customFormat="false" ht="26.85" hidden="false" customHeight="false" outlineLevel="0" collapsed="false">
      <c r="A28" s="6" t="s">
        <v>68</v>
      </c>
      <c r="B28" s="6" t="s">
        <v>69</v>
      </c>
      <c r="C28" s="6" t="s">
        <v>70</v>
      </c>
      <c r="D28" s="7" t="n">
        <v>50</v>
      </c>
      <c r="E28" s="8" t="n">
        <f aca="false">D28*0.85</f>
        <v>42.5</v>
      </c>
      <c r="F28" s="9" t="n">
        <f aca="false">D28-E28</f>
        <v>7.5</v>
      </c>
    </row>
    <row r="31" customFormat="false" ht="15" hidden="false" customHeight="false" outlineLevel="0" collapsed="false">
      <c r="A31" s="11" t="s">
        <v>71</v>
      </c>
    </row>
    <row r="32" customFormat="false" ht="15" hidden="false" customHeight="false" outlineLevel="0" collapsed="false">
      <c r="A32" s="12" t="s">
        <v>72</v>
      </c>
      <c r="B32" s="12"/>
      <c r="C32" s="12"/>
      <c r="D32" s="12"/>
      <c r="E32" s="12"/>
      <c r="F32" s="12"/>
    </row>
    <row r="33" customFormat="false" ht="15" hidden="false" customHeight="false" outlineLevel="0" collapsed="false">
      <c r="A33" s="12" t="s">
        <v>73</v>
      </c>
      <c r="B33" s="12"/>
      <c r="C33" s="12"/>
      <c r="D33" s="12"/>
      <c r="E33" s="12"/>
      <c r="F33" s="12"/>
    </row>
    <row r="34" customFormat="false" ht="15" hidden="false" customHeight="false" outlineLevel="0" collapsed="false">
      <c r="A34" s="12" t="s">
        <v>74</v>
      </c>
      <c r="B34" s="12"/>
      <c r="C34" s="12"/>
      <c r="D34" s="12"/>
      <c r="E34" s="12"/>
      <c r="F34" s="12"/>
    </row>
    <row r="35" customFormat="false" ht="15" hidden="false" customHeight="false" outlineLevel="0" collapsed="false">
      <c r="A35" s="12" t="s">
        <v>75</v>
      </c>
      <c r="B35" s="12"/>
      <c r="C35" s="12"/>
      <c r="D35" s="12"/>
      <c r="E35" s="12"/>
      <c r="F35" s="12"/>
    </row>
    <row r="36" customFormat="false" ht="15" hidden="false" customHeight="false" outlineLevel="0" collapsed="false">
      <c r="A36" s="12" t="s">
        <v>76</v>
      </c>
      <c r="B36" s="12"/>
      <c r="C36" s="12"/>
      <c r="D36" s="12"/>
      <c r="E36" s="12"/>
      <c r="F36" s="12"/>
    </row>
    <row r="37" customFormat="false" ht="15" hidden="false" customHeight="false" outlineLevel="0" collapsed="false">
      <c r="A37" s="12" t="s">
        <v>77</v>
      </c>
      <c r="B37" s="12"/>
      <c r="C37" s="12"/>
      <c r="D37" s="12"/>
      <c r="E37" s="12"/>
      <c r="F37" s="12"/>
    </row>
    <row r="38" customFormat="false" ht="15" hidden="false" customHeight="false" outlineLevel="0" collapsed="false">
      <c r="A38" s="12" t="s">
        <v>78</v>
      </c>
      <c r="B38" s="12"/>
      <c r="C38" s="12"/>
      <c r="D38" s="12"/>
      <c r="E38" s="12"/>
      <c r="F38" s="12"/>
    </row>
    <row r="39" customFormat="false" ht="15" hidden="false" customHeight="false" outlineLevel="0" collapsed="false">
      <c r="A39" s="12" t="s">
        <v>79</v>
      </c>
      <c r="B39" s="12"/>
      <c r="C39" s="12"/>
      <c r="D39" s="12"/>
      <c r="E39" s="12"/>
      <c r="F39" s="12"/>
    </row>
  </sheetData>
  <mergeCells count="15">
    <mergeCell ref="A1:F1"/>
    <mergeCell ref="A2:F2"/>
    <mergeCell ref="A3:F3"/>
    <mergeCell ref="A6:F6"/>
    <mergeCell ref="A13:F13"/>
    <mergeCell ref="A17:F17"/>
    <mergeCell ref="A23:F23"/>
    <mergeCell ref="A32:F32"/>
    <mergeCell ref="A33:F33"/>
    <mergeCell ref="A34:F34"/>
    <mergeCell ref="A35:F35"/>
    <mergeCell ref="A36:F36"/>
    <mergeCell ref="A37:F37"/>
    <mergeCell ref="A38:F38"/>
    <mergeCell ref="A39:F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8"/>
    <col collapsed="false" customWidth="true" hidden="false" outlineLevel="0" max="5" min="3" style="0" width="14"/>
  </cols>
  <sheetData>
    <row r="1" customFormat="false" ht="19.7" hidden="false" customHeight="false" outlineLevel="0" collapsed="false">
      <c r="A1" s="1" t="s">
        <v>80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81</v>
      </c>
      <c r="B2" s="2"/>
      <c r="C2" s="2"/>
      <c r="D2" s="2"/>
      <c r="E2" s="2"/>
    </row>
    <row r="4" customFormat="false" ht="15" hidden="false" customHeight="false" outlineLevel="0" collapsed="false">
      <c r="A4" s="13" t="s">
        <v>82</v>
      </c>
      <c r="B4" s="13"/>
      <c r="C4" s="13"/>
      <c r="D4" s="13"/>
      <c r="E4" s="13"/>
    </row>
    <row r="5" customFormat="false" ht="15" hidden="false" customHeight="false" outlineLevel="0" collapsed="false">
      <c r="A5" s="0" t="s">
        <v>83</v>
      </c>
      <c r="B5" s="14" t="n">
        <v>10</v>
      </c>
    </row>
    <row r="6" customFormat="false" ht="15" hidden="false" customHeight="false" outlineLevel="0" collapsed="false">
      <c r="A6" s="0" t="s">
        <v>84</v>
      </c>
      <c r="B6" s="15" t="n">
        <v>450</v>
      </c>
    </row>
    <row r="7" customFormat="false" ht="15" hidden="false" customHeight="false" outlineLevel="0" collapsed="false">
      <c r="A7" s="0" t="s">
        <v>85</v>
      </c>
      <c r="B7" s="16" t="n">
        <v>0.15</v>
      </c>
    </row>
    <row r="9" customFormat="false" ht="15" hidden="false" customHeight="false" outlineLevel="0" collapsed="false">
      <c r="A9" s="13" t="s">
        <v>86</v>
      </c>
      <c r="B9" s="13"/>
      <c r="C9" s="13"/>
      <c r="D9" s="13"/>
      <c r="E9" s="13"/>
    </row>
    <row r="10" customFormat="false" ht="15" hidden="false" customHeight="false" outlineLevel="0" collapsed="false">
      <c r="A10" s="0" t="s">
        <v>87</v>
      </c>
      <c r="B10" s="17" t="n">
        <f aca="false">B6</f>
        <v>450</v>
      </c>
    </row>
    <row r="11" customFormat="false" ht="15" hidden="false" customHeight="false" outlineLevel="0" collapsed="false">
      <c r="A11" s="0" t="s">
        <v>88</v>
      </c>
      <c r="B11" s="18" t="n">
        <f aca="false">-B6*(1-B7)</f>
        <v>-382.5</v>
      </c>
    </row>
    <row r="12" customFormat="false" ht="15" hidden="false" customHeight="false" outlineLevel="0" collapsed="false">
      <c r="A12" s="19" t="s">
        <v>89</v>
      </c>
      <c r="B12" s="20" t="n">
        <f aca="false">B10+B11</f>
        <v>67.5</v>
      </c>
    </row>
    <row r="14" customFormat="false" ht="15" hidden="false" customHeight="false" outlineLevel="0" collapsed="false">
      <c r="A14" s="13" t="s">
        <v>90</v>
      </c>
      <c r="B14" s="13"/>
      <c r="C14" s="13"/>
      <c r="D14" s="13"/>
      <c r="E14" s="13"/>
    </row>
    <row r="15" customFormat="false" ht="15" hidden="false" customHeight="false" outlineLevel="0" collapsed="false">
      <c r="A15" s="0" t="s">
        <v>91</v>
      </c>
      <c r="B15" s="21" t="n">
        <f aca="false">B12*B5</f>
        <v>675</v>
      </c>
    </row>
    <row r="16" customFormat="false" ht="17.35" hidden="false" customHeight="false" outlineLevel="0" collapsed="false">
      <c r="A16" s="0" t="s">
        <v>92</v>
      </c>
      <c r="B16" s="22" t="n">
        <f aca="false">B15*12</f>
        <v>8100</v>
      </c>
    </row>
    <row r="18" customFormat="false" ht="15" hidden="false" customHeight="false" outlineLevel="0" collapsed="false">
      <c r="A18" s="23" t="s">
        <v>93</v>
      </c>
      <c r="B18" s="23"/>
      <c r="C18" s="23"/>
      <c r="D18" s="23"/>
      <c r="E18" s="23"/>
    </row>
    <row r="19" customFormat="false" ht="15" hidden="false" customHeight="false" outlineLevel="0" collapsed="false">
      <c r="A19" s="0" t="s">
        <v>94</v>
      </c>
      <c r="B19" s="24" t="n">
        <v>0</v>
      </c>
    </row>
    <row r="20" customFormat="false" ht="15" hidden="false" customHeight="false" outlineLevel="0" collapsed="false">
      <c r="A20" s="0" t="s">
        <v>95</v>
      </c>
      <c r="B20" s="25" t="n">
        <f aca="false">B16</f>
        <v>8100</v>
      </c>
    </row>
    <row r="21" customFormat="false" ht="17.35" hidden="false" customHeight="false" outlineLevel="0" collapsed="false">
      <c r="A21" s="0" t="s">
        <v>96</v>
      </c>
      <c r="B21" s="22" t="n">
        <f aca="false">B20-B19</f>
        <v>8100</v>
      </c>
    </row>
    <row r="23" customFormat="false" ht="15" hidden="false" customHeight="false" outlineLevel="0" collapsed="false">
      <c r="A23" s="11" t="s">
        <v>97</v>
      </c>
    </row>
    <row r="24" customFormat="false" ht="15" hidden="false" customHeight="false" outlineLevel="0" collapsed="false">
      <c r="A24" s="3" t="s">
        <v>98</v>
      </c>
      <c r="B24" s="3"/>
      <c r="C24" s="3"/>
      <c r="D24" s="3"/>
      <c r="E24" s="3"/>
    </row>
    <row r="25" customFormat="false" ht="15" hidden="false" customHeight="false" outlineLevel="0" collapsed="false">
      <c r="A25" s="3" t="s">
        <v>99</v>
      </c>
      <c r="B25" s="3"/>
      <c r="C25" s="3"/>
      <c r="D25" s="3"/>
      <c r="E25" s="3"/>
    </row>
    <row r="26" customFormat="false" ht="15" hidden="false" customHeight="false" outlineLevel="0" collapsed="false">
      <c r="A26" s="3" t="s">
        <v>100</v>
      </c>
      <c r="B26" s="3"/>
      <c r="C26" s="3"/>
      <c r="D26" s="3"/>
      <c r="E26" s="3"/>
    </row>
    <row r="27" customFormat="false" ht="15" hidden="false" customHeight="false" outlineLevel="0" collapsed="false">
      <c r="A27" s="3" t="s">
        <v>101</v>
      </c>
      <c r="B27" s="3"/>
      <c r="C27" s="3"/>
      <c r="D27" s="3"/>
      <c r="E27" s="3"/>
    </row>
    <row r="28" customFormat="false" ht="15" hidden="false" customHeight="false" outlineLevel="0" collapsed="false">
      <c r="A28" s="3" t="s">
        <v>102</v>
      </c>
      <c r="B28" s="3"/>
      <c r="C28" s="3"/>
      <c r="D28" s="3"/>
      <c r="E28" s="3"/>
    </row>
    <row r="29" customFormat="false" ht="15" hidden="false" customHeight="false" outlineLevel="0" collapsed="false">
      <c r="A29" s="3" t="s">
        <v>103</v>
      </c>
      <c r="B29" s="3"/>
      <c r="C29" s="3"/>
      <c r="D29" s="3"/>
      <c r="E29" s="3"/>
    </row>
  </sheetData>
  <mergeCells count="12">
    <mergeCell ref="A1:E1"/>
    <mergeCell ref="A2:E2"/>
    <mergeCell ref="A4:E4"/>
    <mergeCell ref="A9:E9"/>
    <mergeCell ref="A14:E14"/>
    <mergeCell ref="A18:E18"/>
    <mergeCell ref="A24:E24"/>
    <mergeCell ref="A25:E25"/>
    <mergeCell ref="A26:E26"/>
    <mergeCell ref="A27:E27"/>
    <mergeCell ref="A28:E28"/>
    <mergeCell ref="A29:E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18"/>
    <col collapsed="false" customWidth="true" hidden="false" outlineLevel="0" max="4" min="4" style="0" width="28"/>
    <col collapsed="false" customWidth="true" hidden="false" outlineLevel="0" max="5" min="5" style="0" width="22"/>
  </cols>
  <sheetData>
    <row r="1" customFormat="false" ht="19.7" hidden="false" customHeight="false" outlineLevel="0" collapsed="false">
      <c r="A1" s="1" t="s">
        <v>104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105</v>
      </c>
      <c r="B2" s="2"/>
      <c r="C2" s="2"/>
      <c r="D2" s="2"/>
      <c r="E2" s="2"/>
    </row>
    <row r="4" customFormat="false" ht="26.85" hidden="false" customHeight="false" outlineLevel="0" collapsed="false">
      <c r="A4" s="4" t="s">
        <v>106</v>
      </c>
      <c r="B4" s="4" t="s">
        <v>107</v>
      </c>
      <c r="C4" s="4" t="s">
        <v>108</v>
      </c>
      <c r="D4" s="4" t="s">
        <v>109</v>
      </c>
      <c r="E4" s="4" t="s">
        <v>110</v>
      </c>
    </row>
    <row r="5" customFormat="false" ht="15" hidden="false" customHeight="false" outlineLevel="0" collapsed="false">
      <c r="A5" s="26" t="s">
        <v>111</v>
      </c>
      <c r="B5" s="27" t="s">
        <v>112</v>
      </c>
      <c r="C5" s="28" t="n">
        <v>0.15</v>
      </c>
      <c r="D5" s="29" t="n">
        <f aca="false">450*0.15</f>
        <v>67.5</v>
      </c>
      <c r="E5" s="30" t="n">
        <f aca="false">10*450*0.15*12</f>
        <v>8100</v>
      </c>
    </row>
    <row r="6" customFormat="false" ht="15" hidden="false" customHeight="false" outlineLevel="0" collapsed="false">
      <c r="A6" s="26" t="s">
        <v>113</v>
      </c>
      <c r="B6" s="27" t="s">
        <v>114</v>
      </c>
      <c r="C6" s="28" t="n">
        <v>0.2</v>
      </c>
      <c r="D6" s="29" t="n">
        <f aca="false">450*0.2</f>
        <v>90</v>
      </c>
      <c r="E6" s="30" t="n">
        <f aca="false">20*450*0.2*12</f>
        <v>21600</v>
      </c>
    </row>
    <row r="7" customFormat="false" ht="15" hidden="false" customHeight="false" outlineLevel="0" collapsed="false">
      <c r="A7" s="26" t="s">
        <v>115</v>
      </c>
      <c r="B7" s="27" t="s">
        <v>116</v>
      </c>
      <c r="C7" s="28" t="n">
        <v>0.25</v>
      </c>
      <c r="D7" s="29" t="n">
        <f aca="false">450*0.25</f>
        <v>112.5</v>
      </c>
      <c r="E7" s="30" t="n">
        <f aca="false">35*450*0.25*12</f>
        <v>47250</v>
      </c>
    </row>
    <row r="9" customFormat="false" ht="15" hidden="false" customHeight="false" outlineLevel="0" collapsed="false">
      <c r="A9" s="11" t="s">
        <v>117</v>
      </c>
    </row>
    <row r="10" customFormat="false" ht="15" hidden="false" customHeight="false" outlineLevel="0" collapsed="false">
      <c r="A10" s="3" t="s">
        <v>118</v>
      </c>
      <c r="B10" s="3"/>
      <c r="C10" s="3"/>
      <c r="D10" s="3"/>
      <c r="E10" s="3"/>
    </row>
    <row r="11" customFormat="false" ht="15" hidden="false" customHeight="false" outlineLevel="0" collapsed="false">
      <c r="A11" s="3" t="s">
        <v>119</v>
      </c>
      <c r="B11" s="3"/>
      <c r="C11" s="3"/>
      <c r="D11" s="3"/>
      <c r="E11" s="3"/>
    </row>
    <row r="12" customFormat="false" ht="15" hidden="false" customHeight="false" outlineLevel="0" collapsed="false">
      <c r="A12" s="3" t="s">
        <v>120</v>
      </c>
      <c r="B12" s="3"/>
      <c r="C12" s="3"/>
      <c r="D12" s="3"/>
      <c r="E12" s="3"/>
    </row>
    <row r="13" customFormat="false" ht="15" hidden="false" customHeight="false" outlineLevel="0" collapsed="false">
      <c r="A13" s="3" t="s">
        <v>121</v>
      </c>
      <c r="B13" s="3"/>
      <c r="C13" s="3"/>
      <c r="D13" s="3"/>
      <c r="E13" s="3"/>
    </row>
    <row r="14" customFormat="false" ht="15" hidden="false" customHeight="false" outlineLevel="0" collapsed="false">
      <c r="A14" s="3" t="s">
        <v>122</v>
      </c>
      <c r="B14" s="3"/>
      <c r="C14" s="3"/>
      <c r="D14" s="3"/>
      <c r="E14" s="3"/>
    </row>
    <row r="15" customFormat="false" ht="15" hidden="false" customHeight="false" outlineLevel="0" collapsed="false">
      <c r="A15" s="3" t="s">
        <v>123</v>
      </c>
      <c r="B15" s="3"/>
      <c r="C15" s="3"/>
      <c r="D15" s="3"/>
      <c r="E15" s="3"/>
    </row>
  </sheetData>
  <mergeCells count="8">
    <mergeCell ref="A1:E1"/>
    <mergeCell ref="A2:E2"/>
    <mergeCell ref="A10:E10"/>
    <mergeCell ref="A11:E11"/>
    <mergeCell ref="A12:E12"/>
    <mergeCell ref="A13:E13"/>
    <mergeCell ref="A14:E14"/>
    <mergeCell ref="A15:E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4"/>
    <col collapsed="false" customWidth="true" hidden="false" outlineLevel="0" max="3" min="3" style="0" width="42"/>
    <col collapsed="false" customWidth="true" hidden="false" outlineLevel="0" max="4" min="4" style="0" width="22"/>
  </cols>
  <sheetData>
    <row r="1" customFormat="false" ht="19.7" hidden="false" customHeight="false" outlineLevel="0" collapsed="false">
      <c r="A1" s="31" t="s">
        <v>124</v>
      </c>
      <c r="B1" s="31"/>
      <c r="C1" s="31"/>
      <c r="D1" s="31"/>
    </row>
    <row r="2" customFormat="false" ht="15" hidden="false" customHeight="false" outlineLevel="0" collapsed="false">
      <c r="A2" s="32" t="s">
        <v>125</v>
      </c>
      <c r="B2" s="32"/>
      <c r="C2" s="32"/>
      <c r="D2" s="32"/>
    </row>
    <row r="3" customFormat="false" ht="15" hidden="false" customHeight="false" outlineLevel="0" collapsed="false">
      <c r="A3" s="3" t="s">
        <v>126</v>
      </c>
      <c r="B3" s="3"/>
      <c r="C3" s="3"/>
      <c r="D3" s="3"/>
    </row>
    <row r="5" customFormat="false" ht="26.85" hidden="false" customHeight="false" outlineLevel="0" collapsed="false">
      <c r="A5" s="4" t="s">
        <v>127</v>
      </c>
      <c r="B5" s="4" t="s">
        <v>128</v>
      </c>
      <c r="C5" s="4" t="s">
        <v>129</v>
      </c>
      <c r="D5" s="4" t="s">
        <v>130</v>
      </c>
    </row>
    <row r="6" customFormat="false" ht="15" hidden="false" customHeight="false" outlineLevel="0" collapsed="false">
      <c r="A6" s="33" t="s">
        <v>131</v>
      </c>
      <c r="B6" s="7" t="n">
        <v>450</v>
      </c>
      <c r="C6" s="6" t="s">
        <v>132</v>
      </c>
      <c r="D6" s="34" t="s">
        <v>133</v>
      </c>
    </row>
    <row r="7" customFormat="false" ht="26.85" hidden="false" customHeight="false" outlineLevel="0" collapsed="false">
      <c r="A7" s="33" t="s">
        <v>134</v>
      </c>
      <c r="B7" s="7" t="n">
        <v>400</v>
      </c>
      <c r="C7" s="6" t="s">
        <v>135</v>
      </c>
      <c r="D7" s="34" t="s">
        <v>136</v>
      </c>
    </row>
    <row r="8" customFormat="false" ht="15" hidden="false" customHeight="false" outlineLevel="0" collapsed="false">
      <c r="A8" s="33" t="s">
        <v>137</v>
      </c>
      <c r="B8" s="7" t="n">
        <v>450</v>
      </c>
      <c r="C8" s="6" t="s">
        <v>138</v>
      </c>
      <c r="D8" s="34" t="s">
        <v>136</v>
      </c>
    </row>
    <row r="9" customFormat="false" ht="15" hidden="false" customHeight="false" outlineLevel="0" collapsed="false">
      <c r="A9" s="33" t="s">
        <v>139</v>
      </c>
      <c r="B9" s="7" t="n">
        <v>400</v>
      </c>
      <c r="C9" s="6" t="s">
        <v>140</v>
      </c>
      <c r="D9" s="34" t="s">
        <v>136</v>
      </c>
    </row>
    <row r="10" customFormat="false" ht="15" hidden="false" customHeight="false" outlineLevel="0" collapsed="false">
      <c r="A10" s="33" t="s">
        <v>141</v>
      </c>
      <c r="B10" s="7" t="n">
        <v>350</v>
      </c>
      <c r="C10" s="6" t="s">
        <v>142</v>
      </c>
      <c r="D10" s="34" t="s">
        <v>136</v>
      </c>
    </row>
    <row r="12" customFormat="false" ht="15" hidden="false" customHeight="false" outlineLevel="0" collapsed="false">
      <c r="A12" s="32" t="s">
        <v>143</v>
      </c>
      <c r="B12" s="32"/>
      <c r="C12" s="32"/>
      <c r="D12" s="32"/>
    </row>
  </sheetData>
  <mergeCells count="4">
    <mergeCell ref="A1:D1"/>
    <mergeCell ref="A2:D2"/>
    <mergeCell ref="A3:D3"/>
    <mergeCell ref="A12:D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2026-05-19T19:22:57Z</dcterms:created>
  <dc:creator>openpyxl</dc:creator>
  <dc:description/>
  <dc:language>en-US</dc:language>
  <cp:lastModifiedBy/>
  <dcterms:modified xsi:type="dcterms:W3CDTF">2026-05-19T19:22:57Z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